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sitif" sheetId="1" state="visible" r:id="rId1"/>
    <sheet xmlns:r="http://schemas.openxmlformats.org/officeDocument/2006/relationships" name="Negatif" sheetId="2" state="visible" r:id="rId2"/>
  </sheets>
  <definedNames>
    <definedName name="_xlnm.Print_Titles" localSheetId="0">'Positif'!$1:$8</definedName>
    <definedName name="_xlnm.Print_Titles" localSheetId="1">'Negatif'!$1:$8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A3A6B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55555"/>
      <sz val="10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27622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4472C4"/>
      <sz val="13"/>
    </font>
    <font>
      <name val="Arial"/>
      <charset val="1"/>
      <family val="0"/>
      <b val="1"/>
      <color rgb="FF217346"/>
      <sz val="13"/>
    </font>
    <font>
      <name val="Arial"/>
      <charset val="1"/>
      <family val="0"/>
      <b val="1"/>
      <color rgb="FF9C0006"/>
      <sz val="13"/>
    </font>
    <font>
      <name val="Arial"/>
      <charset val="1"/>
      <family val="0"/>
      <b val="1"/>
      <color rgb="FF9C0006"/>
      <sz val="10"/>
    </font>
  </fonts>
  <fills count="12">
    <fill>
      <patternFill/>
    </fill>
    <fill>
      <patternFill patternType="gray125"/>
    </fill>
    <fill>
      <patternFill patternType="solid">
        <fgColor rgb="FF1A3A6B"/>
        <bgColor rgb="FF333399"/>
      </patternFill>
    </fill>
    <fill>
      <patternFill patternType="solid">
        <fgColor rgb="FFDCE6F1"/>
        <bgColor rgb="FFF2F2F2"/>
      </patternFill>
    </fill>
    <fill>
      <patternFill patternType="solid">
        <fgColor rgb="FF2E6096"/>
        <bgColor rgb="FF4472C4"/>
      </patternFill>
    </fill>
    <fill>
      <patternFill patternType="solid">
        <fgColor rgb="FF217346"/>
        <bgColor rgb="FF276221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DCE6F1"/>
      </patternFill>
    </fill>
    <fill>
      <patternFill patternType="solid">
        <fgColor rgb="FFFFFFFF"/>
        <bgColor rgb="FFF2F2F2"/>
      </patternFill>
    </fill>
    <fill>
      <patternFill patternType="solid">
        <fgColor rgb="FF4472C4"/>
        <bgColor rgb="FF2E6096"/>
      </patternFill>
    </fill>
    <fill>
      <patternFill patternType="solid">
        <fgColor rgb="FF9C0006"/>
        <bgColor rgb="FF800000"/>
      </patternFill>
    </fill>
    <fill>
      <patternFill patternType="solid">
        <fgColor rgb="FFFFC7CE"/>
        <bgColor rgb="FFCCCCFF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2" applyAlignment="1" pivotButton="0" quotePrefix="0" xfId="0">
      <alignment horizontal="right" vertical="center"/>
    </xf>
    <xf numFmtId="0" fontId="13" fillId="8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right" vertical="center"/>
    </xf>
    <xf numFmtId="0" fontId="14" fillId="8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3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7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9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2" fillId="9" borderId="2" applyAlignment="1" pivotButton="0" quotePrefix="0" xfId="0">
      <alignment horizontal="right" vertical="center"/>
    </xf>
    <xf numFmtId="0" fontId="13" fillId="8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right" vertical="center"/>
    </xf>
    <xf numFmtId="0" fontId="14" fillId="8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6" fillId="11" borderId="1" applyAlignment="1" pivotButton="0" quotePrefix="0" xfId="0">
      <alignment vertical="top" wrapText="1"/>
    </xf>
    <xf numFmtId="0" fontId="16" fillId="11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217346"/>
      <rgbColor rgb="FFC0C0C0"/>
      <rgbColor rgb="FF888888"/>
      <rgbColor rgb="FF9999FF"/>
      <rgbColor rgb="FF993366"/>
      <rgbColor rgb="FFF2F2F2"/>
      <rgbColor rgb="FFDCE6F1"/>
      <rgbColor rgb="FF660066"/>
      <rgbColor rgb="FFFF8080"/>
      <rgbColor rgb="FF2E609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55555"/>
      <rgbColor rgb="FFAAAAAA"/>
      <rgbColor rgb="FF1A3A6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1" customWidth="1" style="21" min="2" max="4"/>
    <col width="14" customWidth="1" style="21" min="5" max="5"/>
    <col width="22" customWidth="1" style="21" min="6" max="6"/>
    <col width="28" customWidth="1" style="21" min="7" max="7"/>
    <col width="32" customWidth="1" style="21" min="8" max="8"/>
    <col width="30" customWidth="1" style="21" min="9" max="10"/>
    <col width="13" customWidth="1" style="21" min="11" max="11"/>
    <col width="16" customWidth="1" style="21" min="12" max="12"/>
    <col width="24" customWidth="1" style="21" min="13" max="13"/>
    <col width="13" customWidth="1" style="21" min="14" max="14"/>
  </cols>
  <sheetData>
    <row r="1" ht="30" customHeight="1" s="22">
      <c r="A1" s="23" t="inlineStr">
        <is>
          <t>TEST SCRIPT REPORT — BACKEND (POSITIF)</t>
        </is>
      </c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5" t="n"/>
    </row>
    <row r="2" ht="19.5" customHeight="1" s="22">
      <c r="A2" s="26" t="inlineStr">
        <is>
          <t>Nama Kelompok</t>
        </is>
      </c>
      <c r="B2" s="24" t="n"/>
      <c r="C2" s="27" t="inlineStr">
        <is>
          <t>:</t>
        </is>
      </c>
      <c r="D2" s="28" t="inlineStr">
        <is>
          <t>Kelompok [Nama Kelompok]</t>
        </is>
      </c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</row>
    <row r="3" ht="19.5" customHeight="1" s="22">
      <c r="A3" s="26" t="inlineStr">
        <is>
          <t>Kelas</t>
        </is>
      </c>
      <c r="B3" s="24" t="n"/>
      <c r="C3" s="27" t="inlineStr">
        <is>
          <t>:</t>
        </is>
      </c>
      <c r="D3" s="28" t="inlineStr">
        <is>
          <t>[Kelas, misal: A / B / C]</t>
        </is>
      </c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</row>
    <row r="4" ht="19.5" customHeight="1" s="22">
      <c r="A4" s="26" t="inlineStr">
        <is>
          <t>Angkatan</t>
        </is>
      </c>
      <c r="B4" s="24" t="n"/>
      <c r="C4" s="27" t="inlineStr">
        <is>
          <t>:</t>
        </is>
      </c>
      <c r="D4" s="28" t="inlineStr">
        <is>
          <t>[Tahun Angkatan, misal: 2022]</t>
        </is>
      </c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</row>
    <row r="5" ht="19.5" customHeight="1" s="22">
      <c r="A5" s="26" t="inlineStr">
        <is>
          <t>Nama Sistem</t>
        </is>
      </c>
      <c r="B5" s="24" t="n"/>
      <c r="C5" s="27" t="inlineStr">
        <is>
          <t>:</t>
        </is>
      </c>
      <c r="D5" s="28" t="inlineStr">
        <is>
          <t>[Nama Sistem / Aplikasi yang Diuji]</t>
        </is>
      </c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</row>
    <row r="6" ht="21.75" customHeight="1" s="22">
      <c r="A6" s="29" t="inlineStr">
        <is>
          <t>Tipe Pengujian: Backend</t>
        </is>
      </c>
      <c r="B6" s="24" t="n"/>
      <c r="C6" s="24" t="n"/>
      <c r="D6" s="24" t="n"/>
      <c r="E6" s="24" t="n"/>
      <c r="F6" s="24" t="n"/>
      <c r="G6" s="25" t="n"/>
      <c r="H6" s="30" t="inlineStr">
        <is>
          <t>Skenario: Positif</t>
        </is>
      </c>
      <c r="I6" s="24" t="n"/>
      <c r="J6" s="24" t="n"/>
      <c r="K6" s="24" t="n"/>
      <c r="L6" s="24" t="n"/>
      <c r="M6" s="24" t="n"/>
      <c r="N6" s="25" t="n"/>
    </row>
    <row r="7" ht="6" customHeight="1" s="22"/>
    <row r="8" ht="36" customHeight="1" s="22">
      <c r="A8" s="31" t="inlineStr">
        <is>
          <t>No.</t>
        </is>
      </c>
      <c r="B8" s="31" t="inlineStr">
        <is>
          <t>SRS Ref.</t>
        </is>
      </c>
      <c r="C8" s="31" t="inlineStr">
        <is>
          <t>FSD Ref.</t>
        </is>
      </c>
      <c r="D8" s="31" t="inlineStr">
        <is>
          <t>TSD Ref.</t>
        </is>
      </c>
      <c r="E8" s="31" t="inlineStr">
        <is>
          <t>No. Test Script</t>
        </is>
      </c>
      <c r="F8" s="31" t="inlineStr">
        <is>
          <t>Nama Fungsional</t>
        </is>
      </c>
      <c r="G8" s="31" t="inlineStr">
        <is>
          <t>URL / Endpoint</t>
        </is>
      </c>
      <c r="H8" s="31" t="inlineStr">
        <is>
          <t>Parameter / Value</t>
        </is>
      </c>
      <c r="I8" s="31" t="inlineStr">
        <is>
          <t>Ekspektasi</t>
        </is>
      </c>
      <c r="J8" s="31" t="inlineStr">
        <is>
          <t>Hasil Aktual</t>
        </is>
      </c>
      <c r="K8" s="31" t="inlineStr">
        <is>
          <t>Tgl Test</t>
        </is>
      </c>
      <c r="L8" s="31" t="inlineStr">
        <is>
          <t>PIC</t>
        </is>
      </c>
      <c r="M8" s="31" t="inlineStr">
        <is>
          <t>Screenshot Hasil</t>
        </is>
      </c>
      <c r="N8" s="31" t="inlineStr">
        <is>
          <t>Pass / Failed</t>
        </is>
      </c>
    </row>
    <row r="9" ht="21.75" customHeight="1" s="22">
      <c r="A9" s="32">
        <f>1</f>
        <v/>
      </c>
      <c r="B9" s="33" t="inlineStr">
        <is>
          <t>SRS-001</t>
        </is>
      </c>
      <c r="C9" s="33" t="inlineStr">
        <is>
          <t>FSD-01.1</t>
        </is>
      </c>
      <c r="D9" s="33" t="inlineStr">
        <is>
          <t>TSD-01</t>
        </is>
      </c>
      <c r="E9" s="33" t="inlineStr">
        <is>
          <t>TS-BE-001</t>
        </is>
      </c>
      <c r="F9" s="33" t="inlineStr">
        <is>
          <t>Login User (Valid)</t>
        </is>
      </c>
      <c r="G9" s="33" t="inlineStr">
        <is>
          <t>POST /api/auth/login</t>
        </is>
      </c>
      <c r="H9" s="33" t="inlineStr">
        <is>
          <t>email=kepsek@rsi.sch.id; password=admin123</t>
        </is>
      </c>
      <c r="I9" s="33" t="inlineStr">
        <is>
          <t>Status 200, cookie session + data user</t>
        </is>
      </c>
      <c r="J9" s="33" t="inlineStr">
        <is>
          <t>HTTP 200. success=true, role=PRINCIPAL, cookie rsi_session diterima</t>
        </is>
      </c>
      <c r="K9" s="33" t="inlineStr">
        <is>
          <t>2026-06-05</t>
        </is>
      </c>
      <c r="L9" s="33" t="inlineStr">
        <is>
          <t>Nama Tester</t>
        </is>
      </c>
      <c r="M9" s="33" t="inlineStr">
        <is>
          <t>-</t>
        </is>
      </c>
      <c r="N9" s="34" t="inlineStr">
        <is>
          <t>Pass</t>
        </is>
      </c>
    </row>
    <row r="10" ht="21.75" customHeight="1" s="22">
      <c r="A10" s="35">
        <f>2</f>
        <v/>
      </c>
      <c r="B10" s="36" t="inlineStr">
        <is>
          <t>SRS-006</t>
        </is>
      </c>
      <c r="C10" s="36" t="inlineStr">
        <is>
          <t>FSD-06.2</t>
        </is>
      </c>
      <c r="D10" s="36" t="inlineStr">
        <is>
          <t>TSD-06</t>
        </is>
      </c>
      <c r="E10" s="36" t="inlineStr">
        <is>
          <t>TS-BE-002</t>
        </is>
      </c>
      <c r="F10" s="36" t="inlineStr">
        <is>
          <t>List Guru</t>
        </is>
      </c>
      <c r="G10" s="36" t="inlineStr">
        <is>
          <t>GET /api/teachers</t>
        </is>
      </c>
      <c r="H10" s="36" t="inlineStr">
        <is>
          <t>Cookie session role=PRINCIPAL</t>
        </is>
      </c>
      <c r="I10" s="36" t="inlineStr">
        <is>
          <t>Status 200, array data guru</t>
        </is>
      </c>
      <c r="J10" s="36" t="inlineStr">
        <is>
          <t>HTTP 200. 11 guru dengan nama, mapel, homeroom, progress</t>
        </is>
      </c>
      <c r="K10" s="36" t="inlineStr">
        <is>
          <t>2026-06-05</t>
        </is>
      </c>
      <c r="L10" s="36" t="inlineStr">
        <is>
          <t>Nama Tester</t>
        </is>
      </c>
      <c r="M10" s="36" t="inlineStr">
        <is>
          <t>-</t>
        </is>
      </c>
      <c r="N10" s="34" t="inlineStr">
        <is>
          <t>Pass</t>
        </is>
      </c>
    </row>
    <row r="11" ht="21.75" customHeight="1" s="22">
      <c r="A11" s="32">
        <f>3</f>
        <v/>
      </c>
      <c r="B11" s="33" t="inlineStr">
        <is>
          <t>SRS-006</t>
        </is>
      </c>
      <c r="C11" s="33" t="inlineStr">
        <is>
          <t>FSD-06.2</t>
        </is>
      </c>
      <c r="D11" s="33" t="inlineStr">
        <is>
          <t>TSD-06</t>
        </is>
      </c>
      <c r="E11" s="33" t="inlineStr">
        <is>
          <t>TS-BE-003</t>
        </is>
      </c>
      <c r="F11" s="33" t="inlineStr">
        <is>
          <t>Detail Guru</t>
        </is>
      </c>
      <c r="G11" s="33" t="inlineStr">
        <is>
          <t>GET /api/teachers/[id]</t>
        </is>
      </c>
      <c r="H11" s="33" t="inlineStr">
        <is>
          <t>Cookie role=PRINCIPAL; id=guru valid</t>
        </is>
      </c>
      <c r="I11" s="33" t="inlineStr">
        <is>
          <t>Status 200, detail + mapel + siswa + progress</t>
        </is>
      </c>
      <c r="J11" s="33" t="inlineStr">
        <is>
          <t>HTTP 200. Detail Bpk. Ahmad Dahlan, 15 mapel</t>
        </is>
      </c>
      <c r="K11" s="33" t="inlineStr">
        <is>
          <t>2026-06-05</t>
        </is>
      </c>
      <c r="L11" s="33" t="inlineStr">
        <is>
          <t>Nama Tester</t>
        </is>
      </c>
      <c r="M11" s="33" t="inlineStr">
        <is>
          <t>-</t>
        </is>
      </c>
      <c r="N11" s="34" t="inlineStr">
        <is>
          <t>Pass</t>
        </is>
      </c>
    </row>
    <row r="12" ht="21.75" customHeight="1" s="22">
      <c r="A12" s="35">
        <f>4</f>
        <v/>
      </c>
      <c r="B12" s="36" t="inlineStr">
        <is>
          <t>SRS-004</t>
        </is>
      </c>
      <c r="C12" s="36" t="inlineStr">
        <is>
          <t>FSD-04.1</t>
        </is>
      </c>
      <c r="D12" s="36" t="inlineStr">
        <is>
          <t>TSD-04</t>
        </is>
      </c>
      <c r="E12" s="36" t="inlineStr">
        <is>
          <t>TS-BE-004</t>
        </is>
      </c>
      <c r="F12" s="36" t="inlineStr">
        <is>
          <t>Dashboard Guru</t>
        </is>
      </c>
      <c r="G12" s="36" t="inlineStr">
        <is>
          <t>GET /api/guru/dashboard</t>
        </is>
      </c>
      <c r="H12" s="36" t="inlineStr">
        <is>
          <t>Cookie session role=TEACHER</t>
        </is>
      </c>
      <c r="I12" s="36" t="inlineStr">
        <is>
          <t>Status 200, kelas + mapel + siswa + progress</t>
        </is>
      </c>
      <c r="J12" s="36" t="inlineStr">
        <is>
          <t>HTTP 200. 3 kelas, 15 mapel, 4 siswa, avg 77%</t>
        </is>
      </c>
      <c r="K12" s="36" t="inlineStr">
        <is>
          <t>2026-06-05</t>
        </is>
      </c>
      <c r="L12" s="36" t="inlineStr">
        <is>
          <t>Nama Tester</t>
        </is>
      </c>
      <c r="M12" s="36" t="inlineStr">
        <is>
          <t>-</t>
        </is>
      </c>
      <c r="N12" s="34" t="inlineStr">
        <is>
          <t>Pass</t>
        </is>
      </c>
    </row>
    <row r="13" ht="21.75" customHeight="1" s="22">
      <c r="A13" s="32">
        <f>5</f>
        <v/>
      </c>
      <c r="B13" s="33" t="inlineStr">
        <is>
          <t>SRS-002</t>
        </is>
      </c>
      <c r="C13" s="33" t="inlineStr">
        <is>
          <t>FSD-02.1</t>
        </is>
      </c>
      <c r="D13" s="33" t="inlineStr">
        <is>
          <t>TSD-02</t>
        </is>
      </c>
      <c r="E13" s="33" t="inlineStr">
        <is>
          <t>TS-BE-005</t>
        </is>
      </c>
      <c r="F13" s="33" t="inlineStr">
        <is>
          <t>List Subjects Guru</t>
        </is>
      </c>
      <c r="G13" s="33" t="inlineStr">
        <is>
          <t>GET /api/guru/subjects</t>
        </is>
      </c>
      <c r="H13" s="33" t="inlineStr">
        <is>
          <t>Cookie session role=TEACHER</t>
        </is>
      </c>
      <c r="I13" s="33" t="inlineStr">
        <is>
          <t>Status 200, daftar classSubject per kelas</t>
        </is>
      </c>
      <c r="J13" s="33" t="inlineStr">
        <is>
          <t>HTTP 200. 15 subjects (5 mapel x 3 kelas)</t>
        </is>
      </c>
      <c r="K13" s="33" t="inlineStr">
        <is>
          <t>2026-06-05</t>
        </is>
      </c>
      <c r="L13" s="33" t="inlineStr">
        <is>
          <t>Nama Tester</t>
        </is>
      </c>
      <c r="M13" s="33" t="inlineStr">
        <is>
          <t>-</t>
        </is>
      </c>
      <c r="N13" s="34" t="inlineStr">
        <is>
          <t>Pass</t>
        </is>
      </c>
    </row>
    <row r="14" ht="21.75" customHeight="1" s="22">
      <c r="A14" s="37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9" t="n"/>
    </row>
    <row r="15" ht="21.75" customHeight="1" s="22">
      <c r="A15" s="40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39" t="n"/>
    </row>
    <row r="16" ht="21.75" customHeight="1" s="22">
      <c r="A16" s="37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9" t="n"/>
    </row>
    <row r="17" ht="21.75" customHeight="1" s="22">
      <c r="A17" s="40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39" t="n"/>
    </row>
    <row r="18" ht="21.75" customHeight="1" s="22">
      <c r="A18" s="37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9" t="n"/>
    </row>
    <row r="19" ht="7.5" customHeight="1" s="22"/>
    <row r="20" ht="21.75" customHeight="1" s="22">
      <c r="A20" s="42" t="inlineStr">
        <is>
          <t>TOTAL TEST CASES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43">
        <f>COUNTA(N9:N1000)-COUNTBLANK(N9:N1000)</f>
        <v/>
      </c>
      <c r="M20" s="24" t="n"/>
      <c r="N20" s="24" t="n"/>
    </row>
    <row r="21" ht="21.75" customHeight="1" s="22">
      <c r="A21" s="44" t="inlineStr">
        <is>
          <t>PASS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45">
        <f>COUNTIF(N9:N1000,"Pass")</f>
        <v/>
      </c>
      <c r="M21" s="24" t="n"/>
      <c r="N21" s="24" t="n"/>
    </row>
    <row r="22" ht="21.75" customHeight="1" s="22">
      <c r="A22" s="46" t="inlineStr">
        <is>
          <t>FAILED</t>
        </is>
      </c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47">
        <f>COUNTIF(N9:N1000,"Failed")</f>
        <v/>
      </c>
      <c r="M22" s="24" t="n"/>
      <c r="N22" s="24" t="n"/>
    </row>
  </sheetData>
  <mergeCells count="17">
    <mergeCell ref="A4:B4"/>
    <mergeCell ref="A22:K22"/>
    <mergeCell ref="A2:B2"/>
    <mergeCell ref="D3:N3"/>
    <mergeCell ref="A20:K20"/>
    <mergeCell ref="A21:K21"/>
    <mergeCell ref="L21:N21"/>
    <mergeCell ref="A6:G6"/>
    <mergeCell ref="L22:N22"/>
    <mergeCell ref="A5:B5"/>
    <mergeCell ref="D2:N2"/>
    <mergeCell ref="D5:N5"/>
    <mergeCell ref="H6:N6"/>
    <mergeCell ref="D4:N4"/>
    <mergeCell ref="L20:N20"/>
    <mergeCell ref="A3:B3"/>
    <mergeCell ref="A1:N1"/>
  </mergeCells>
  <dataValidations count="1">
    <dataValidation sqref="N9:N1000" showDropDown="0" showInputMessage="0" showErrorMessage="1" allowBlank="0" errorTitle="Input Tidak Valid" error="Hanya boleh memilih Pass atau Failed" type="list" errorStyle="stop" operator="between">
      <formula1>"Pass,Failed"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1" customWidth="1" style="21" min="2" max="4"/>
    <col width="14" customWidth="1" style="21" min="5" max="5"/>
    <col width="22" customWidth="1" style="21" min="6" max="6"/>
    <col width="28" customWidth="1" style="21" min="7" max="7"/>
    <col width="32" customWidth="1" style="21" min="8" max="8"/>
    <col width="30" customWidth="1" style="21" min="9" max="10"/>
    <col width="13" customWidth="1" style="21" min="11" max="11"/>
    <col width="16" customWidth="1" style="21" min="12" max="12"/>
    <col width="24" customWidth="1" style="21" min="13" max="13"/>
    <col width="13" customWidth="1" style="21" min="14" max="14"/>
  </cols>
  <sheetData>
    <row r="1" ht="30" customHeight="1" s="22">
      <c r="A1" s="23" t="inlineStr">
        <is>
          <t>TEST SCRIPT REPORT — BACKEND (NEGATIF)</t>
        </is>
      </c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5" t="n"/>
    </row>
    <row r="2" ht="19.5" customHeight="1" s="22">
      <c r="A2" s="26" t="inlineStr">
        <is>
          <t>Nama Kelompok</t>
        </is>
      </c>
      <c r="B2" s="24" t="n"/>
      <c r="C2" s="27" t="inlineStr">
        <is>
          <t>:</t>
        </is>
      </c>
      <c r="D2" s="28" t="inlineStr">
        <is>
          <t>Kelompok [Nama Kelompok]</t>
        </is>
      </c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</row>
    <row r="3" ht="19.5" customHeight="1" s="22">
      <c r="A3" s="26" t="inlineStr">
        <is>
          <t>Kelas</t>
        </is>
      </c>
      <c r="B3" s="24" t="n"/>
      <c r="C3" s="27" t="inlineStr">
        <is>
          <t>:</t>
        </is>
      </c>
      <c r="D3" s="28" t="inlineStr">
        <is>
          <t>[Kelas, misal: A / B / C]</t>
        </is>
      </c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</row>
    <row r="4" ht="19.5" customHeight="1" s="22">
      <c r="A4" s="26" t="inlineStr">
        <is>
          <t>Angkatan</t>
        </is>
      </c>
      <c r="B4" s="24" t="n"/>
      <c r="C4" s="27" t="inlineStr">
        <is>
          <t>:</t>
        </is>
      </c>
      <c r="D4" s="28" t="inlineStr">
        <is>
          <t>[Tahun Angkatan, misal: 2022]</t>
        </is>
      </c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</row>
    <row r="5" ht="19.5" customHeight="1" s="22">
      <c r="A5" s="26" t="inlineStr">
        <is>
          <t>Nama Sistem</t>
        </is>
      </c>
      <c r="B5" s="24" t="n"/>
      <c r="C5" s="27" t="inlineStr">
        <is>
          <t>:</t>
        </is>
      </c>
      <c r="D5" s="28" t="inlineStr">
        <is>
          <t>[Nama Sistem / Aplikasi yang Diuji]</t>
        </is>
      </c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</row>
    <row r="6" ht="21.75" customHeight="1" s="22">
      <c r="A6" s="29" t="inlineStr">
        <is>
          <t>Tipe Pengujian: Backend</t>
        </is>
      </c>
      <c r="B6" s="24" t="n"/>
      <c r="C6" s="24" t="n"/>
      <c r="D6" s="24" t="n"/>
      <c r="E6" s="24" t="n"/>
      <c r="F6" s="24" t="n"/>
      <c r="G6" s="25" t="n"/>
      <c r="H6" s="48" t="inlineStr">
        <is>
          <t>Skenario: Negatif</t>
        </is>
      </c>
      <c r="I6" s="24" t="n"/>
      <c r="J6" s="24" t="n"/>
      <c r="K6" s="24" t="n"/>
      <c r="L6" s="24" t="n"/>
      <c r="M6" s="24" t="n"/>
      <c r="N6" s="25" t="n"/>
    </row>
    <row r="7" ht="6" customHeight="1" s="22"/>
    <row r="8" ht="36" customHeight="1" s="22">
      <c r="A8" s="31" t="inlineStr">
        <is>
          <t>No.</t>
        </is>
      </c>
      <c r="B8" s="31" t="inlineStr">
        <is>
          <t>SRS Ref.</t>
        </is>
      </c>
      <c r="C8" s="31" t="inlineStr">
        <is>
          <t>FSD Ref.</t>
        </is>
      </c>
      <c r="D8" s="31" t="inlineStr">
        <is>
          <t>TSD Ref.</t>
        </is>
      </c>
      <c r="E8" s="31" t="inlineStr">
        <is>
          <t>No. Test Script</t>
        </is>
      </c>
      <c r="F8" s="31" t="inlineStr">
        <is>
          <t>Nama Fungsional</t>
        </is>
      </c>
      <c r="G8" s="31" t="inlineStr">
        <is>
          <t>URL / Endpoint</t>
        </is>
      </c>
      <c r="H8" s="31" t="inlineStr">
        <is>
          <t>Parameter / Value</t>
        </is>
      </c>
      <c r="I8" s="31" t="inlineStr">
        <is>
          <t>Ekspektasi</t>
        </is>
      </c>
      <c r="J8" s="31" t="inlineStr">
        <is>
          <t>Hasil Aktual</t>
        </is>
      </c>
      <c r="K8" s="31" t="inlineStr">
        <is>
          <t>Tgl Test</t>
        </is>
      </c>
      <c r="L8" s="31" t="inlineStr">
        <is>
          <t>PIC</t>
        </is>
      </c>
      <c r="M8" s="31" t="inlineStr">
        <is>
          <t>Screenshot Hasil</t>
        </is>
      </c>
      <c r="N8" s="31" t="inlineStr">
        <is>
          <t>Pass / Failed</t>
        </is>
      </c>
    </row>
    <row r="9" ht="21.75" customHeight="1" s="22">
      <c r="A9" s="32">
        <f>1</f>
        <v/>
      </c>
      <c r="B9" s="33" t="inlineStr">
        <is>
          <t>SRS-001</t>
        </is>
      </c>
      <c r="C9" s="33" t="inlineStr">
        <is>
          <t>FSD-01.1</t>
        </is>
      </c>
      <c r="D9" s="33" t="inlineStr">
        <is>
          <t>TSD-01</t>
        </is>
      </c>
      <c r="E9" s="33" t="inlineStr">
        <is>
          <t>TS-BE-006</t>
        </is>
      </c>
      <c r="F9" s="33" t="inlineStr">
        <is>
          <t>Login Wrong Password</t>
        </is>
      </c>
      <c r="G9" s="33" t="inlineStr">
        <is>
          <t>POST /api/auth/login</t>
        </is>
      </c>
      <c r="H9" s="33" t="inlineStr">
        <is>
          <t>email=kepsek@rsi.sch.id; password=salah123</t>
        </is>
      </c>
      <c r="I9" s="33" t="inlineStr">
        <is>
          <t>Status 401, error message (BR-01)</t>
        </is>
      </c>
      <c r="J9" s="33" t="inlineStr">
        <is>
          <t>HTTP 401. {"success":false,"message":"Email atau password salah"}</t>
        </is>
      </c>
      <c r="K9" s="33" t="inlineStr">
        <is>
          <t>2026-06-05</t>
        </is>
      </c>
      <c r="L9" s="33" t="inlineStr">
        <is>
          <t>Nama Tester</t>
        </is>
      </c>
      <c r="M9" s="33" t="inlineStr">
        <is>
          <t>-</t>
        </is>
      </c>
      <c r="N9" s="49" t="inlineStr">
        <is>
          <t>Pass</t>
        </is>
      </c>
    </row>
    <row r="10" ht="21.75" customHeight="1" s="22">
      <c r="A10" s="35">
        <f>2</f>
        <v/>
      </c>
      <c r="B10" s="36" t="inlineStr">
        <is>
          <t>SRS-001</t>
        </is>
      </c>
      <c r="C10" s="36" t="inlineStr">
        <is>
          <t>FSD-01.1</t>
        </is>
      </c>
      <c r="D10" s="36" t="inlineStr">
        <is>
          <t>TSD-01</t>
        </is>
      </c>
      <c r="E10" s="36" t="inlineStr">
        <is>
          <t>TS-BE-007</t>
        </is>
      </c>
      <c r="F10" s="36" t="inlineStr">
        <is>
          <t>Login Unregistered Email</t>
        </is>
      </c>
      <c r="G10" s="36" t="inlineStr">
        <is>
          <t>POST /api/auth/login</t>
        </is>
      </c>
      <c r="H10" s="36" t="inlineStr">
        <is>
          <t>email=x@y.com; password=admin123</t>
        </is>
      </c>
      <c r="I10" s="36" t="inlineStr">
        <is>
          <t>Status 401, error message (BR-01)</t>
        </is>
      </c>
      <c r="J10" s="36" t="inlineStr">
        <is>
          <t>HTTP 401. {"success":false,"message":"Email atau password salah"}</t>
        </is>
      </c>
      <c r="K10" s="36" t="inlineStr">
        <is>
          <t>2026-06-05</t>
        </is>
      </c>
      <c r="L10" s="36" t="inlineStr">
        <is>
          <t>Nama Tester</t>
        </is>
      </c>
      <c r="M10" s="36" t="inlineStr">
        <is>
          <t>-</t>
        </is>
      </c>
      <c r="N10" s="49" t="inlineStr">
        <is>
          <t>Pass</t>
        </is>
      </c>
    </row>
    <row r="11" ht="21.75" customHeight="1" s="22">
      <c r="A11" s="32">
        <f>3</f>
        <v/>
      </c>
      <c r="B11" s="33" t="inlineStr">
        <is>
          <t>SRS-001</t>
        </is>
      </c>
      <c r="C11" s="33" t="inlineStr">
        <is>
          <t>FSD-01.1</t>
        </is>
      </c>
      <c r="D11" s="33" t="inlineStr">
        <is>
          <t>TSD-01</t>
        </is>
      </c>
      <c r="E11" s="33" t="inlineStr">
        <is>
          <t>TS-BE-008</t>
        </is>
      </c>
      <c r="F11" s="33" t="inlineStr">
        <is>
          <t>Akses Principal API pakai Role Guru</t>
        </is>
      </c>
      <c r="G11" s="33" t="inlineStr">
        <is>
          <t>GET /api/teachers</t>
        </is>
      </c>
      <c r="H11" s="33" t="inlineStr">
        <is>
          <t>Cookie session role=TEACHER (bukan PRINCIPAL)</t>
        </is>
      </c>
      <c r="I11" s="33" t="inlineStr">
        <is>
          <t>Status 403, forbidden (RBAC)</t>
        </is>
      </c>
      <c r="J11" s="33" t="inlineStr">
        <is>
          <t>HTTP 403. {"error":"Forbidden: akses hanya untuk PRINCIPAL"}</t>
        </is>
      </c>
      <c r="K11" s="33" t="inlineStr">
        <is>
          <t>2026-06-05</t>
        </is>
      </c>
      <c r="L11" s="33" t="inlineStr">
        <is>
          <t>Nama Tester</t>
        </is>
      </c>
      <c r="M11" s="33" t="inlineStr">
        <is>
          <t>-</t>
        </is>
      </c>
      <c r="N11" s="49" t="inlineStr">
        <is>
          <t>Pass</t>
        </is>
      </c>
    </row>
    <row r="12" ht="21.75" customHeight="1" s="22">
      <c r="A12" s="35">
        <f>4</f>
        <v/>
      </c>
      <c r="B12" s="36" t="inlineStr">
        <is>
          <t>SRS-006</t>
        </is>
      </c>
      <c r="C12" s="36" t="inlineStr">
        <is>
          <t>FSD-06.2</t>
        </is>
      </c>
      <c r="D12" s="36" t="inlineStr">
        <is>
          <t>TSD-06</t>
        </is>
      </c>
      <c r="E12" s="36" t="inlineStr">
        <is>
          <t>TS-BE-009</t>
        </is>
      </c>
      <c r="F12" s="36" t="inlineStr">
        <is>
          <t>Tambah Guru Duplikat Email</t>
        </is>
      </c>
      <c r="G12" s="36" t="inlineStr">
        <is>
          <t>POST /api/teachers</t>
        </is>
      </c>
      <c r="H12" s="36" t="inlineStr">
        <is>
          <t>Cookie role=PRINCIPAL; name=X; email=kepsek@rsi.sch.id</t>
        </is>
      </c>
      <c r="I12" s="36" t="inlineStr">
        <is>
          <t>Status 409, error email sudah terdaftar</t>
        </is>
      </c>
      <c r="J12" s="36" t="inlineStr">
        <is>
          <t>HTTP 409. {"error":"Email sudah terdaftar"}</t>
        </is>
      </c>
      <c r="K12" s="36" t="inlineStr">
        <is>
          <t>2026-06-05</t>
        </is>
      </c>
      <c r="L12" s="36" t="inlineStr">
        <is>
          <t>Nama Tester</t>
        </is>
      </c>
      <c r="M12" s="36" t="inlineStr">
        <is>
          <t>-</t>
        </is>
      </c>
      <c r="N12" s="49" t="inlineStr">
        <is>
          <t>Pass</t>
        </is>
      </c>
    </row>
    <row r="13" ht="21.75" customHeight="1" s="22">
      <c r="A13" s="32">
        <f>5</f>
        <v/>
      </c>
      <c r="B13" s="33" t="inlineStr">
        <is>
          <t>SRS-001</t>
        </is>
      </c>
      <c r="C13" s="33" t="inlineStr">
        <is>
          <t>FSD-01.1</t>
        </is>
      </c>
      <c r="D13" s="33" t="inlineStr">
        <is>
          <t>TSD-01</t>
        </is>
      </c>
      <c r="E13" s="33" t="inlineStr">
        <is>
          <t>TS-BE-010</t>
        </is>
      </c>
      <c r="F13" s="33" t="inlineStr">
        <is>
          <t>Akses Tanpa Autentikasi</t>
        </is>
      </c>
      <c r="G13" s="33" t="inlineStr">
        <is>
          <t>GET /api/teachers</t>
        </is>
      </c>
      <c r="H13" s="33" t="inlineStr">
        <is>
          <t>No cookie</t>
        </is>
      </c>
      <c r="I13" s="33" t="inlineStr">
        <is>
          <t>Status 307, redirect ke halaman login</t>
        </is>
      </c>
      <c r="J13" s="33" t="inlineStr">
        <is>
          <t>HTTP 307. Redirect ke /auth/login</t>
        </is>
      </c>
      <c r="K13" s="33" t="inlineStr">
        <is>
          <t>2026-06-05</t>
        </is>
      </c>
      <c r="L13" s="33" t="inlineStr">
        <is>
          <t>Nama Tester</t>
        </is>
      </c>
      <c r="M13" s="33" t="inlineStr">
        <is>
          <t>-</t>
        </is>
      </c>
      <c r="N13" s="49" t="inlineStr">
        <is>
          <t>Pass</t>
        </is>
      </c>
    </row>
    <row r="14" ht="21.75" customHeight="1" s="22">
      <c r="A14" s="37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50" t="n"/>
    </row>
    <row r="15" ht="21.75" customHeight="1" s="22">
      <c r="A15" s="40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50" t="n"/>
    </row>
    <row r="16" ht="21.75" customHeight="1" s="22">
      <c r="A16" s="37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50" t="n"/>
    </row>
    <row r="17" ht="21.75" customHeight="1" s="22">
      <c r="A17" s="40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50" t="n"/>
    </row>
    <row r="18" ht="21.75" customHeight="1" s="22">
      <c r="A18" s="37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50" t="n"/>
    </row>
    <row r="19" ht="7.5" customHeight="1" s="22"/>
    <row r="20" ht="21.75" customHeight="1" s="22">
      <c r="A20" s="42" t="inlineStr">
        <is>
          <t>TOTAL TEST CASES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43">
        <f>COUNTA(N9:N1000)-COUNTBLANK(N9:N1000)</f>
        <v/>
      </c>
      <c r="M20" s="24" t="n"/>
      <c r="N20" s="24" t="n"/>
    </row>
    <row r="21" ht="21.75" customHeight="1" s="22">
      <c r="A21" s="44" t="inlineStr">
        <is>
          <t>PASS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45">
        <f>COUNTIF(N9:N1000,"Pass")</f>
        <v/>
      </c>
      <c r="M21" s="24" t="n"/>
      <c r="N21" s="24" t="n"/>
    </row>
    <row r="22" ht="21.75" customHeight="1" s="22">
      <c r="A22" s="46" t="inlineStr">
        <is>
          <t>FAILED</t>
        </is>
      </c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47">
        <f>COUNTIF(N9:N1000,"Failed")</f>
        <v/>
      </c>
      <c r="M22" s="24" t="n"/>
      <c r="N22" s="24" t="n"/>
    </row>
  </sheetData>
  <mergeCells count="17">
    <mergeCell ref="A4:B4"/>
    <mergeCell ref="A22:K22"/>
    <mergeCell ref="A2:B2"/>
    <mergeCell ref="D3:N3"/>
    <mergeCell ref="A20:K20"/>
    <mergeCell ref="A21:K21"/>
    <mergeCell ref="L21:N21"/>
    <mergeCell ref="A6:G6"/>
    <mergeCell ref="L22:N22"/>
    <mergeCell ref="A5:B5"/>
    <mergeCell ref="D2:N2"/>
    <mergeCell ref="D5:N5"/>
    <mergeCell ref="H6:N6"/>
    <mergeCell ref="D4:N4"/>
    <mergeCell ref="L20:N20"/>
    <mergeCell ref="A3:B3"/>
    <mergeCell ref="A1:N1"/>
  </mergeCells>
  <dataValidations count="1">
    <dataValidation sqref="N9:N1000" showDropDown="0" showInputMessage="0" showErrorMessage="1" allowBlank="0" errorTitle="Input Tidak Valid" error="Hanya boleh memilih Pass atau Failed" type="list" errorStyle="stop" operator="between">
      <formula1>"Pass,Failed"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2026-06-03T12:37:19Z</dcterms:created>
  <dcterms:modified xmlns:dcterms="http://purl.org/dc/terms/" xmlns:xsi="http://www.w3.org/2001/XMLSchema-instance" xsi:type="dcterms:W3CDTF">2026-06-05T08:45:53Z</dcterms:modified>
  <cp:revision>0</cp:revision>
</cp:coreProperties>
</file>