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NS\Kuliah\Rekayasa Sistem Informasi\"/>
    </mc:Choice>
  </mc:AlternateContent>
  <xr:revisionPtr revIDLastSave="0" documentId="13_ncr:1_{9D75610B-3767-4F2E-BC57-6A1E188ABEB0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Positif" sheetId="1" r:id="rId1"/>
    <sheet name="Negatif" sheetId="2" r:id="rId2"/>
  </sheets>
  <definedNames>
    <definedName name="_xlnm.Print_Titles" localSheetId="1">Negatif!$1:$8</definedName>
    <definedName name="_xlnm.Print_Titles" localSheetId="0">Positif!$1:$8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0" i="1" l="1"/>
  <c r="L22" i="2"/>
  <c r="L21" i="2"/>
  <c r="L20" i="2"/>
  <c r="A18" i="2"/>
  <c r="A17" i="2"/>
  <c r="A16" i="2"/>
  <c r="A15" i="2"/>
  <c r="A14" i="2"/>
  <c r="A13" i="2"/>
  <c r="A12" i="2"/>
  <c r="A11" i="2"/>
  <c r="A10" i="2"/>
  <c r="A9" i="2"/>
  <c r="L22" i="1"/>
  <c r="L21" i="1"/>
  <c r="A18" i="1"/>
  <c r="A17" i="1"/>
  <c r="A16" i="1"/>
  <c r="A15" i="1"/>
  <c r="A14" i="1"/>
  <c r="A13" i="1"/>
  <c r="A12" i="1"/>
  <c r="A11" i="1"/>
  <c r="A10" i="1"/>
  <c r="A9" i="1"/>
</calcChain>
</file>

<file path=xl/sharedStrings.xml><?xml version="1.0" encoding="utf-8"?>
<sst xmlns="http://schemas.openxmlformats.org/spreadsheetml/2006/main" count="324" uniqueCount="45">
  <si>
    <t>TEST SCRIPT REPORT — FRONTEND (POSITIF)</t>
  </si>
  <si>
    <t>Nama Kelompok</t>
  </si>
  <si>
    <t>:</t>
  </si>
  <si>
    <t>Kelompok [Nama Kelompok]</t>
  </si>
  <si>
    <t>Kelas</t>
  </si>
  <si>
    <t>[Kelas, misal: A / B / C]</t>
  </si>
  <si>
    <t>Angkatan</t>
  </si>
  <si>
    <t>[Tahun Angkatan, misal: 2022]</t>
  </si>
  <si>
    <t>Nama Sistem</t>
  </si>
  <si>
    <t>[Nama Sistem / Aplikasi yang Diuji]</t>
  </si>
  <si>
    <t>Tipe Pengujian: Frontend</t>
  </si>
  <si>
    <t>Skenario: Positif</t>
  </si>
  <si>
    <t>No.</t>
  </si>
  <si>
    <t>SRS Ref.</t>
  </si>
  <si>
    <t>FSD Ref.</t>
  </si>
  <si>
    <t>TSD Ref.</t>
  </si>
  <si>
    <t>No. Test Script</t>
  </si>
  <si>
    <t>Nama Fungsional</t>
  </si>
  <si>
    <t>URL / Endpoint</t>
  </si>
  <si>
    <t>Parameter / Value</t>
  </si>
  <si>
    <t>Ekspektasi</t>
  </si>
  <si>
    <t>Hasil Aktual</t>
  </si>
  <si>
    <t>Tgl Test</t>
  </si>
  <si>
    <t>PIC</t>
  </si>
  <si>
    <t>Screenshot Hasil</t>
  </si>
  <si>
    <t>Pass / Failed</t>
  </si>
  <si>
    <t>SRS-001</t>
  </si>
  <si>
    <t>FSD-001</t>
  </si>
  <si>
    <t>TSD-001</t>
  </si>
  <si>
    <t>TS-FE-001</t>
  </si>
  <si>
    <t>Login User</t>
  </si>
  <si>
    <t>/api/auth/login</t>
  </si>
  <si>
    <t>email=test@mail.com; pwd=***</t>
  </si>
  <si>
    <t>Status 200, token returned</t>
  </si>
  <si>
    <t>Status 200, token received</t>
  </si>
  <si>
    <t>01/06/2026</t>
  </si>
  <si>
    <t>Nama Tester</t>
  </si>
  <si>
    <t>Lihat lampiran / link</t>
  </si>
  <si>
    <t>Pass</t>
  </si>
  <si>
    <t>TOTAL TEST CASES</t>
  </si>
  <si>
    <t>PASS</t>
  </si>
  <si>
    <t>FAILED</t>
  </si>
  <si>
    <t>TEST SCRIPT REPORT — FRONTEND (NEGATIF)</t>
  </si>
  <si>
    <t>Skenario: Negatif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</si>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</sst>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1A3A6B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i/>
      <sz val="10"/>
      <color rgb="FF555555"/>
      <name val="Arial"/>
      <charset val="1"/>
    </font>
    <font>
      <i/>
      <sz val="10"/>
      <color rgb="FF888888"/>
      <name val="Arial"/>
      <charset val="1"/>
    </font>
    <font>
      <b/>
      <sz val="10"/>
      <color rgb="FF276221"/>
      <name val="Arial"/>
      <charset val="1"/>
    </font>
    <font>
      <b/>
      <sz val="11"/>
      <color rgb="FFFFFFFF"/>
      <name val="Arial"/>
      <charset val="1"/>
    </font>
    <font>
      <b/>
      <sz val="13"/>
      <color rgb="FF4472C4"/>
      <name val="Arial"/>
      <charset val="1"/>
    </font>
    <font>
      <b/>
      <sz val="13"/>
      <color rgb="FF217346"/>
      <name val="Arial"/>
      <charset val="1"/>
    </font>
    <font>
      <b/>
      <sz val="13"/>
      <color rgb="FF9C0006"/>
      <name val="Arial"/>
      <charset val="1"/>
    </font>
    <font>
      <b/>
      <sz val="10"/>
      <color rgb="FF9C0006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A6B"/>
        <bgColor rgb="FF333399"/>
      </patternFill>
    </fill>
    <fill>
      <patternFill patternType="solid">
        <fgColor rgb="FFDCE6F1"/>
        <bgColor rgb="FFF2F2F2"/>
      </patternFill>
    </fill>
    <fill>
      <patternFill patternType="solid">
        <fgColor rgb="FF2E6096"/>
        <bgColor rgb="FF4472C4"/>
      </patternFill>
    </fill>
    <fill>
      <patternFill patternType="solid">
        <fgColor rgb="FF217346"/>
        <bgColor rgb="FF276221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CE6F1"/>
      </patternFill>
    </fill>
    <fill>
      <patternFill patternType="solid">
        <fgColor rgb="FFFFFFFF"/>
        <bgColor rgb="FFF2F2F2"/>
      </patternFill>
    </fill>
    <fill>
      <patternFill patternType="solid">
        <fgColor rgb="FF4472C4"/>
        <bgColor rgb="FF2E6096"/>
      </patternFill>
    </fill>
    <fill>
      <patternFill patternType="solid">
        <fgColor rgb="FF9C0006"/>
        <bgColor rgb="FF800000"/>
      </patternFill>
    </fill>
    <fill>
      <patternFill patternType="solid">
        <fgColor rgb="FFFFC7CE"/>
        <bgColor rgb="FFCCCC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10" borderId="1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right" vertical="center"/>
    </xf>
    <xf numFmtId="0" fontId="10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217346"/>
      <rgbColor rgb="FFC0C0C0"/>
      <rgbColor rgb="FF888888"/>
      <rgbColor rgb="FF9999FF"/>
      <rgbColor rgb="FF993366"/>
      <rgbColor rgb="FFF2F2F2"/>
      <rgbColor rgb="FFDCE6F1"/>
      <rgbColor rgb="FF660066"/>
      <rgbColor rgb="FFFF8080"/>
      <rgbColor rgb="FF2E609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55555"/>
      <rgbColor rgb="FFAAAAAA"/>
      <rgbColor rgb="FF1A3A6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showGridLines="0" tabSelected="1" zoomScaleNormal="100" workbookViewId="0">
      <pane ySplit="8" topLeftCell="A9" activePane="bottomLeft" state="frozen"/>
      <selection pane="bottomLeft" activeCell="D4" sqref="D4:N4"/>
    </sheetView>
  </sheetViews>
  <sheetFormatPr defaultColWidth="8.7109375" defaultRowHeight="15" x14ac:dyDescent="0.25"/>
  <cols>
    <col min="1" max="1" width="5" customWidth="1"/>
    <col min="2" max="4" width="11" customWidth="1"/>
    <col min="5" max="5" width="14" customWidth="1"/>
    <col min="6" max="6" width="22" customWidth="1"/>
    <col min="7" max="7" width="28" customWidth="1"/>
    <col min="8" max="8" width="32" customWidth="1"/>
    <col min="9" max="10" width="30" customWidth="1"/>
    <col min="11" max="11" width="13" customWidth="1"/>
    <col min="12" max="12" width="16" customWidth="1"/>
    <col min="13" max="13" width="24" customWidth="1"/>
    <col min="14" max="14" width="13" customWidth="1"/>
  </cols>
  <sheetData>
    <row r="1" spans="1:14" ht="30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9.5" customHeight="1" x14ac:dyDescent="0.25">
      <c r="A2" s="11" t="s">
        <v>1</v>
      </c>
      <c r="B2" s="11"/>
      <c r="C2" s="13" t="s">
        <v>2</v>
      </c>
      <c r="D2" s="10" t="s">
        <v>3</v>
      </c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9.5" customHeight="1" x14ac:dyDescent="0.25">
      <c r="A3" s="11" t="s">
        <v>4</v>
      </c>
      <c r="B3" s="11"/>
      <c r="C3" s="13" t="s">
        <v>2</v>
      </c>
      <c r="D3" s="10" t="s">
        <v>5</v>
      </c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9.5" customHeight="1" x14ac:dyDescent="0.25">
      <c r="A4" s="11" t="s">
        <v>6</v>
      </c>
      <c r="B4" s="11"/>
      <c r="C4" s="13" t="s">
        <v>2</v>
      </c>
      <c r="D4" s="10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19.5" customHeight="1" x14ac:dyDescent="0.25">
      <c r="A5" s="11" t="s">
        <v>8</v>
      </c>
      <c r="B5" s="11"/>
      <c r="C5" s="13" t="s">
        <v>2</v>
      </c>
      <c r="D5" s="10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21.75" customHeight="1" x14ac:dyDescent="0.25">
      <c r="A6" s="9" t="s">
        <v>10</v>
      </c>
      <c r="B6" s="9"/>
      <c r="C6" s="9"/>
      <c r="D6" s="9"/>
      <c r="E6" s="9"/>
      <c r="F6" s="9"/>
      <c r="G6" s="9"/>
      <c r="H6" s="8" t="s">
        <v>11</v>
      </c>
      <c r="I6" s="8"/>
      <c r="J6" s="8"/>
      <c r="K6" s="8"/>
      <c r="L6" s="8"/>
      <c r="M6" s="8"/>
      <c r="N6" s="8"/>
    </row>
    <row r="7" spans="1:14" ht="6" customHeight="1" x14ac:dyDescent="0.25"/>
    <row r="8" spans="1:14" ht="36" customHeight="1" x14ac:dyDescent="0.25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18</v>
      </c>
      <c r="H8" s="14" t="s">
        <v>19</v>
      </c>
      <c r="I8" s="14" t="s">
        <v>20</v>
      </c>
      <c r="J8" s="14" t="s">
        <v>21</v>
      </c>
      <c r="K8" s="14" t="s">
        <v>22</v>
      </c>
      <c r="L8" s="14" t="s">
        <v>23</v>
      </c>
      <c r="M8" s="14" t="s">
        <v>24</v>
      </c>
      <c r="N8" s="14" t="s">
        <v>25</v>
      </c>
    </row>
    <row r="9" spans="1:14" ht="21.75" customHeight="1" x14ac:dyDescent="0.25">
      <c r="A9" s="15">
        <f>1</f>
        <v>1</v>
      </c>
      <c r="B9" s="16" t="s">
        <v>26</v>
      </c>
      <c r="C9" s="16" t="s">
        <v>27</v>
      </c>
      <c r="D9" s="16" t="s">
        <v>28</v>
      </c>
      <c r="E9" s="16" t="s">
        <v>29</v>
      </c>
      <c r="F9" s="16" t="s">
        <v>30</v>
      </c>
      <c r="G9" s="16" t="s">
        <v>31</v>
      </c>
      <c r="H9" s="16" t="s">
        <v>32</v>
      </c>
      <c r="I9" s="16" t="s">
        <v>33</v>
      </c>
      <c r="J9" s="16" t="s">
        <v>34</v>
      </c>
      <c r="K9" s="16" t="s">
        <v>35</v>
      </c>
      <c r="L9" s="16" t="s">
        <v>36</v>
      </c>
      <c r="M9" s="16" t="s">
        <v>37</v>
      </c>
      <c r="N9" s="17" t="s">
        <v>38</v>
      </c>
    </row>
    <row r="10" spans="1:14" ht="21.75" customHeight="1" x14ac:dyDescent="0.25">
      <c r="A10" s="18">
        <f>2</f>
        <v>2</v>
      </c>
      <c r="B10" s="19" t="s">
        <v>26</v>
      </c>
      <c r="C10" s="19" t="s">
        <v>27</v>
      </c>
      <c r="D10" s="19" t="s">
        <v>28</v>
      </c>
      <c r="E10" s="19" t="s">
        <v>29</v>
      </c>
      <c r="F10" s="19" t="s">
        <v>30</v>
      </c>
      <c r="G10" s="19" t="s">
        <v>31</v>
      </c>
      <c r="H10" s="19" t="s">
        <v>32</v>
      </c>
      <c r="I10" s="19" t="s">
        <v>33</v>
      </c>
      <c r="J10" s="19" t="s">
        <v>34</v>
      </c>
      <c r="K10" s="19" t="s">
        <v>35</v>
      </c>
      <c r="L10" s="19" t="s">
        <v>36</v>
      </c>
      <c r="M10" s="19" t="s">
        <v>37</v>
      </c>
      <c r="N10" s="17" t="s">
        <v>38</v>
      </c>
    </row>
    <row r="11" spans="1:14" ht="21.75" customHeight="1" x14ac:dyDescent="0.25">
      <c r="A11" s="15">
        <f>3</f>
        <v>3</v>
      </c>
      <c r="B11" s="16" t="s">
        <v>26</v>
      </c>
      <c r="C11" s="16" t="s">
        <v>27</v>
      </c>
      <c r="D11" s="16" t="s">
        <v>28</v>
      </c>
      <c r="E11" s="16" t="s">
        <v>29</v>
      </c>
      <c r="F11" s="16" t="s">
        <v>30</v>
      </c>
      <c r="G11" s="16" t="s">
        <v>31</v>
      </c>
      <c r="H11" s="16" t="s">
        <v>32</v>
      </c>
      <c r="I11" s="16" t="s">
        <v>33</v>
      </c>
      <c r="J11" s="16" t="s">
        <v>34</v>
      </c>
      <c r="K11" s="16" t="s">
        <v>35</v>
      </c>
      <c r="L11" s="16" t="s">
        <v>36</v>
      </c>
      <c r="M11" s="16" t="s">
        <v>37</v>
      </c>
      <c r="N11" s="17" t="s">
        <v>38</v>
      </c>
    </row>
    <row r="12" spans="1:14" ht="21.75" customHeight="1" x14ac:dyDescent="0.25">
      <c r="A12" s="18">
        <f>4</f>
        <v>4</v>
      </c>
      <c r="B12" s="19" t="s">
        <v>26</v>
      </c>
      <c r="C12" s="19" t="s">
        <v>27</v>
      </c>
      <c r="D12" s="19" t="s">
        <v>28</v>
      </c>
      <c r="E12" s="19" t="s">
        <v>29</v>
      </c>
      <c r="F12" s="19" t="s">
        <v>30</v>
      </c>
      <c r="G12" s="19" t="s">
        <v>31</v>
      </c>
      <c r="H12" s="19" t="s">
        <v>32</v>
      </c>
      <c r="I12" s="19" t="s">
        <v>33</v>
      </c>
      <c r="J12" s="19" t="s">
        <v>34</v>
      </c>
      <c r="K12" s="19" t="s">
        <v>35</v>
      </c>
      <c r="L12" s="19" t="s">
        <v>36</v>
      </c>
      <c r="M12" s="19" t="s">
        <v>37</v>
      </c>
      <c r="N12" s="17" t="s">
        <v>38</v>
      </c>
    </row>
    <row r="13" spans="1:14" ht="21.75" customHeight="1" x14ac:dyDescent="0.25">
      <c r="A13" s="15">
        <f>5</f>
        <v>5</v>
      </c>
      <c r="B13" s="16" t="s">
        <v>26</v>
      </c>
      <c r="C13" s="16" t="s">
        <v>27</v>
      </c>
      <c r="D13" s="16" t="s">
        <v>28</v>
      </c>
      <c r="E13" s="16" t="s">
        <v>29</v>
      </c>
      <c r="F13" s="16" t="s">
        <v>30</v>
      </c>
      <c r="G13" s="16" t="s">
        <v>31</v>
      </c>
      <c r="H13" s="16" t="s">
        <v>32</v>
      </c>
      <c r="I13" s="16" t="s">
        <v>33</v>
      </c>
      <c r="J13" s="16" t="s">
        <v>34</v>
      </c>
      <c r="K13" s="16" t="s">
        <v>35</v>
      </c>
      <c r="L13" s="16" t="s">
        <v>36</v>
      </c>
      <c r="M13" s="16" t="s">
        <v>37</v>
      </c>
      <c r="N13" s="17" t="s">
        <v>38</v>
      </c>
    </row>
    <row r="14" spans="1:14" ht="21.75" customHeight="1" x14ac:dyDescent="0.25">
      <c r="A14" s="18">
        <f>6</f>
        <v>6</v>
      </c>
      <c r="B14" s="19" t="s">
        <v>26</v>
      </c>
      <c r="C14" s="19" t="s">
        <v>27</v>
      </c>
      <c r="D14" s="19" t="s">
        <v>28</v>
      </c>
      <c r="E14" s="19" t="s">
        <v>29</v>
      </c>
      <c r="F14" s="19" t="s">
        <v>30</v>
      </c>
      <c r="G14" s="19" t="s">
        <v>31</v>
      </c>
      <c r="H14" s="19" t="s">
        <v>32</v>
      </c>
      <c r="I14" s="19" t="s">
        <v>33</v>
      </c>
      <c r="J14" s="19" t="s">
        <v>34</v>
      </c>
      <c r="K14" s="19" t="s">
        <v>35</v>
      </c>
      <c r="L14" s="19" t="s">
        <v>36</v>
      </c>
      <c r="M14" s="19" t="s">
        <v>37</v>
      </c>
      <c r="N14" s="17" t="s">
        <v>38</v>
      </c>
    </row>
    <row r="15" spans="1:14" ht="21.75" customHeight="1" x14ac:dyDescent="0.25">
      <c r="A15" s="15">
        <f>7</f>
        <v>7</v>
      </c>
      <c r="B15" s="16" t="s">
        <v>26</v>
      </c>
      <c r="C15" s="16" t="s">
        <v>27</v>
      </c>
      <c r="D15" s="16" t="s">
        <v>28</v>
      </c>
      <c r="E15" s="16" t="s">
        <v>29</v>
      </c>
      <c r="F15" s="16" t="s">
        <v>30</v>
      </c>
      <c r="G15" s="16" t="s">
        <v>31</v>
      </c>
      <c r="H15" s="16" t="s">
        <v>32</v>
      </c>
      <c r="I15" s="16" t="s">
        <v>33</v>
      </c>
      <c r="J15" s="16" t="s">
        <v>34</v>
      </c>
      <c r="K15" s="16" t="s">
        <v>35</v>
      </c>
      <c r="L15" s="16" t="s">
        <v>36</v>
      </c>
      <c r="M15" s="16" t="s">
        <v>37</v>
      </c>
      <c r="N15" s="17" t="s">
        <v>38</v>
      </c>
    </row>
    <row r="16" spans="1:14" ht="21.75" customHeight="1" x14ac:dyDescent="0.25">
      <c r="A16" s="18">
        <f>8</f>
        <v>8</v>
      </c>
      <c r="B16" s="19" t="s">
        <v>26</v>
      </c>
      <c r="C16" s="19" t="s">
        <v>27</v>
      </c>
      <c r="D16" s="19" t="s">
        <v>28</v>
      </c>
      <c r="E16" s="19" t="s">
        <v>29</v>
      </c>
      <c r="F16" s="19" t="s">
        <v>30</v>
      </c>
      <c r="G16" s="19" t="s">
        <v>31</v>
      </c>
      <c r="H16" s="19" t="s">
        <v>32</v>
      </c>
      <c r="I16" s="19" t="s">
        <v>33</v>
      </c>
      <c r="J16" s="19" t="s">
        <v>34</v>
      </c>
      <c r="K16" s="19" t="s">
        <v>35</v>
      </c>
      <c r="L16" s="19" t="s">
        <v>36</v>
      </c>
      <c r="M16" s="19" t="s">
        <v>37</v>
      </c>
      <c r="N16" s="17" t="s">
        <v>38</v>
      </c>
    </row>
    <row r="17" spans="1:14" ht="21.75" customHeight="1" x14ac:dyDescent="0.25">
      <c r="A17" s="15">
        <f>9</f>
        <v>9</v>
      </c>
      <c r="B17" s="16" t="s">
        <v>26</v>
      </c>
      <c r="C17" s="16" t="s">
        <v>27</v>
      </c>
      <c r="D17" s="16" t="s">
        <v>28</v>
      </c>
      <c r="E17" s="16" t="s">
        <v>29</v>
      </c>
      <c r="F17" s="16" t="s">
        <v>30</v>
      </c>
      <c r="G17" s="16" t="s">
        <v>31</v>
      </c>
      <c r="H17" s="16" t="s">
        <v>32</v>
      </c>
      <c r="I17" s="16" t="s">
        <v>33</v>
      </c>
      <c r="J17" s="16" t="s">
        <v>34</v>
      </c>
      <c r="K17" s="16" t="s">
        <v>35</v>
      </c>
      <c r="L17" s="16" t="s">
        <v>36</v>
      </c>
      <c r="M17" s="16" t="s">
        <v>37</v>
      </c>
      <c r="N17" s="17" t="s">
        <v>38</v>
      </c>
    </row>
    <row r="18" spans="1:14" ht="21.75" customHeight="1" x14ac:dyDescent="0.25">
      <c r="A18" s="18">
        <f>10</f>
        <v>10</v>
      </c>
      <c r="B18" s="19" t="s">
        <v>26</v>
      </c>
      <c r="C18" s="19" t="s">
        <v>27</v>
      </c>
      <c r="D18" s="19" t="s">
        <v>28</v>
      </c>
      <c r="E18" s="19" t="s">
        <v>29</v>
      </c>
      <c r="F18" s="19" t="s">
        <v>30</v>
      </c>
      <c r="G18" s="19" t="s">
        <v>31</v>
      </c>
      <c r="H18" s="19" t="s">
        <v>32</v>
      </c>
      <c r="I18" s="19" t="s">
        <v>33</v>
      </c>
      <c r="J18" s="19" t="s">
        <v>34</v>
      </c>
      <c r="K18" s="19" t="s">
        <v>35</v>
      </c>
      <c r="L18" s="19" t="s">
        <v>36</v>
      </c>
      <c r="M18" s="19" t="s">
        <v>37</v>
      </c>
      <c r="N18" s="17" t="s">
        <v>38</v>
      </c>
    </row>
    <row r="19" spans="1:14" ht="7.5" customHeight="1" x14ac:dyDescent="0.25"/>
    <row r="20" spans="1:14" ht="21.75" customHeight="1" x14ac:dyDescent="0.25">
      <c r="A20" s="7" t="s">
        <v>39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6">
        <f>COUNTA(N9:N1000)-COUNTBLANK(N9:N1000)</f>
        <v>-972</v>
      </c>
      <c r="M20" s="6"/>
      <c r="N20" s="6"/>
    </row>
    <row r="21" spans="1:14" ht="21.75" customHeight="1" x14ac:dyDescent="0.25">
      <c r="A21" s="5" t="s">
        <v>40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4">
        <f>COUNTIF(N9:N1000,"Pass")</f>
        <v>10</v>
      </c>
      <c r="M21" s="4"/>
      <c r="N21" s="4"/>
    </row>
    <row r="22" spans="1:14" ht="21.75" customHeight="1" x14ac:dyDescent="0.25">
      <c r="A22" s="3" t="s">
        <v>41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2">
        <f>COUNTIF(N9:N1000,"Failed")</f>
        <v>0</v>
      </c>
      <c r="M22" s="2"/>
      <c r="N22" s="2"/>
    </row>
  </sheetData>
  <mergeCells count="17">
    <mergeCell ref="A20:K20"/>
    <mergeCell ref="L20:N20"/>
    <mergeCell ref="A21:K21"/>
    <mergeCell ref="L21:N21"/>
    <mergeCell ref="A22:K22"/>
    <mergeCell ref="L22:N22"/>
    <mergeCell ref="A4:B4"/>
    <mergeCell ref="D4:N4"/>
    <mergeCell ref="A5:B5"/>
    <mergeCell ref="D5:N5"/>
    <mergeCell ref="A6:G6"/>
    <mergeCell ref="H6:N6"/>
    <mergeCell ref="A1:N1"/>
    <mergeCell ref="A2:B2"/>
    <mergeCell ref="D2:N2"/>
    <mergeCell ref="A3:B3"/>
    <mergeCell ref="D3:N3"/>
  </mergeCells>
  <dataValidations count="1">
    <dataValidation type="list" showErrorMessage="1" errorTitle="Input Tidak Valid" error="Hanya boleh memilih Pass atau Failed" sqref="N9:N1000" xr:uid="{00000000-0002-0000-0000-000000000000}">
      <formula1>"Pass,Failed"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showGridLines="0" zoomScaleNormal="100" workbookViewId="0">
      <pane ySplit="8" topLeftCell="A9" activePane="bottomLeft" state="frozen"/>
      <selection pane="bottomLeft" sqref="A1:N1"/>
    </sheetView>
  </sheetViews>
  <sheetFormatPr defaultColWidth="8.7109375" defaultRowHeight="15" x14ac:dyDescent="0.25"/>
  <cols>
    <col min="1" max="1" width="5" customWidth="1"/>
    <col min="2" max="4" width="11" customWidth="1"/>
    <col min="5" max="5" width="14" customWidth="1"/>
    <col min="6" max="6" width="22" customWidth="1"/>
    <col min="7" max="7" width="28" customWidth="1"/>
    <col min="8" max="8" width="32" customWidth="1"/>
    <col min="9" max="10" width="30" customWidth="1"/>
    <col min="11" max="11" width="13" customWidth="1"/>
    <col min="12" max="12" width="16" customWidth="1"/>
    <col min="13" max="13" width="24" customWidth="1"/>
    <col min="14" max="14" width="13" customWidth="1"/>
  </cols>
  <sheetData>
    <row r="1" spans="1:14" ht="30" customHeight="1" x14ac:dyDescent="0.25">
      <c r="A1" s="12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9.5" customHeight="1" x14ac:dyDescent="0.25">
      <c r="A2" s="11" t="s">
        <v>1</v>
      </c>
      <c r="B2" s="11"/>
      <c r="C2" s="13" t="s">
        <v>2</v>
      </c>
      <c r="D2" s="10" t="s">
        <v>3</v>
      </c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9.5" customHeight="1" x14ac:dyDescent="0.25">
      <c r="A3" s="11" t="s">
        <v>4</v>
      </c>
      <c r="B3" s="11"/>
      <c r="C3" s="13" t="s">
        <v>2</v>
      </c>
      <c r="D3" s="10" t="s">
        <v>5</v>
      </c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9.5" customHeight="1" x14ac:dyDescent="0.25">
      <c r="A4" s="11" t="s">
        <v>6</v>
      </c>
      <c r="B4" s="11"/>
      <c r="C4" s="13" t="s">
        <v>2</v>
      </c>
      <c r="D4" s="10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19.5" customHeight="1" x14ac:dyDescent="0.25">
      <c r="A5" s="11" t="s">
        <v>8</v>
      </c>
      <c r="B5" s="11"/>
      <c r="C5" s="13" t="s">
        <v>2</v>
      </c>
      <c r="D5" s="10" t="s">
        <v>9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21.75" customHeight="1" x14ac:dyDescent="0.25">
      <c r="A6" s="9" t="s">
        <v>10</v>
      </c>
      <c r="B6" s="9"/>
      <c r="C6" s="9"/>
      <c r="D6" s="9"/>
      <c r="E6" s="9"/>
      <c r="F6" s="9"/>
      <c r="G6" s="9"/>
      <c r="H6" s="1" t="s">
        <v>43</v>
      </c>
      <c r="I6" s="1"/>
      <c r="J6" s="1"/>
      <c r="K6" s="1"/>
      <c r="L6" s="1"/>
      <c r="M6" s="1"/>
      <c r="N6" s="1"/>
    </row>
    <row r="7" spans="1:14" ht="6" customHeight="1" x14ac:dyDescent="0.25"/>
    <row r="8" spans="1:14" ht="36" customHeight="1" x14ac:dyDescent="0.25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18</v>
      </c>
      <c r="H8" s="14" t="s">
        <v>19</v>
      </c>
      <c r="I8" s="14" t="s">
        <v>20</v>
      </c>
      <c r="J8" s="14" t="s">
        <v>21</v>
      </c>
      <c r="K8" s="14" t="s">
        <v>22</v>
      </c>
      <c r="L8" s="14" t="s">
        <v>23</v>
      </c>
      <c r="M8" s="14" t="s">
        <v>24</v>
      </c>
      <c r="N8" s="14" t="s">
        <v>25</v>
      </c>
    </row>
    <row r="9" spans="1:14" ht="21.75" customHeight="1" x14ac:dyDescent="0.25">
      <c r="A9" s="15">
        <f>1</f>
        <v>1</v>
      </c>
      <c r="B9" s="16" t="s">
        <v>26</v>
      </c>
      <c r="C9" s="16" t="s">
        <v>27</v>
      </c>
      <c r="D9" s="16" t="s">
        <v>28</v>
      </c>
      <c r="E9" s="16" t="s">
        <v>29</v>
      </c>
      <c r="F9" s="16" t="s">
        <v>30</v>
      </c>
      <c r="G9" s="16" t="s">
        <v>31</v>
      </c>
      <c r="H9" s="16" t="s">
        <v>32</v>
      </c>
      <c r="I9" s="16" t="s">
        <v>33</v>
      </c>
      <c r="J9" s="16" t="s">
        <v>34</v>
      </c>
      <c r="K9" s="16" t="s">
        <v>35</v>
      </c>
      <c r="L9" s="16" t="s">
        <v>36</v>
      </c>
      <c r="M9" s="16" t="s">
        <v>37</v>
      </c>
      <c r="N9" s="20" t="s">
        <v>44</v>
      </c>
    </row>
    <row r="10" spans="1:14" ht="21.75" customHeight="1" x14ac:dyDescent="0.25">
      <c r="A10" s="18">
        <f>2</f>
        <v>2</v>
      </c>
      <c r="B10" s="19" t="s">
        <v>26</v>
      </c>
      <c r="C10" s="19" t="s">
        <v>27</v>
      </c>
      <c r="D10" s="19" t="s">
        <v>28</v>
      </c>
      <c r="E10" s="19" t="s">
        <v>29</v>
      </c>
      <c r="F10" s="19" t="s">
        <v>30</v>
      </c>
      <c r="G10" s="19" t="s">
        <v>31</v>
      </c>
      <c r="H10" s="19" t="s">
        <v>32</v>
      </c>
      <c r="I10" s="19" t="s">
        <v>33</v>
      </c>
      <c r="J10" s="19" t="s">
        <v>34</v>
      </c>
      <c r="K10" s="19" t="s">
        <v>35</v>
      </c>
      <c r="L10" s="19" t="s">
        <v>36</v>
      </c>
      <c r="M10" s="19" t="s">
        <v>37</v>
      </c>
      <c r="N10" s="20" t="s">
        <v>44</v>
      </c>
    </row>
    <row r="11" spans="1:14" ht="21.75" customHeight="1" x14ac:dyDescent="0.25">
      <c r="A11" s="15">
        <f>3</f>
        <v>3</v>
      </c>
      <c r="B11" s="16" t="s">
        <v>26</v>
      </c>
      <c r="C11" s="16" t="s">
        <v>27</v>
      </c>
      <c r="D11" s="16" t="s">
        <v>28</v>
      </c>
      <c r="E11" s="16" t="s">
        <v>29</v>
      </c>
      <c r="F11" s="16" t="s">
        <v>30</v>
      </c>
      <c r="G11" s="16" t="s">
        <v>31</v>
      </c>
      <c r="H11" s="16" t="s">
        <v>32</v>
      </c>
      <c r="I11" s="16" t="s">
        <v>33</v>
      </c>
      <c r="J11" s="16" t="s">
        <v>34</v>
      </c>
      <c r="K11" s="16" t="s">
        <v>35</v>
      </c>
      <c r="L11" s="16" t="s">
        <v>36</v>
      </c>
      <c r="M11" s="16" t="s">
        <v>37</v>
      </c>
      <c r="N11" s="20" t="s">
        <v>44</v>
      </c>
    </row>
    <row r="12" spans="1:14" ht="21.75" customHeight="1" x14ac:dyDescent="0.25">
      <c r="A12" s="18">
        <f>4</f>
        <v>4</v>
      </c>
      <c r="B12" s="19" t="s">
        <v>26</v>
      </c>
      <c r="C12" s="19" t="s">
        <v>27</v>
      </c>
      <c r="D12" s="19" t="s">
        <v>28</v>
      </c>
      <c r="E12" s="19" t="s">
        <v>29</v>
      </c>
      <c r="F12" s="19" t="s">
        <v>30</v>
      </c>
      <c r="G12" s="19" t="s">
        <v>31</v>
      </c>
      <c r="H12" s="19" t="s">
        <v>32</v>
      </c>
      <c r="I12" s="19" t="s">
        <v>33</v>
      </c>
      <c r="J12" s="19" t="s">
        <v>34</v>
      </c>
      <c r="K12" s="19" t="s">
        <v>35</v>
      </c>
      <c r="L12" s="19" t="s">
        <v>36</v>
      </c>
      <c r="M12" s="19" t="s">
        <v>37</v>
      </c>
      <c r="N12" s="20" t="s">
        <v>44</v>
      </c>
    </row>
    <row r="13" spans="1:14" ht="21.75" customHeight="1" x14ac:dyDescent="0.25">
      <c r="A13" s="15">
        <f>5</f>
        <v>5</v>
      </c>
      <c r="B13" s="16" t="s">
        <v>26</v>
      </c>
      <c r="C13" s="16" t="s">
        <v>27</v>
      </c>
      <c r="D13" s="16" t="s">
        <v>28</v>
      </c>
      <c r="E13" s="16" t="s">
        <v>29</v>
      </c>
      <c r="F13" s="16" t="s">
        <v>30</v>
      </c>
      <c r="G13" s="16" t="s">
        <v>31</v>
      </c>
      <c r="H13" s="16" t="s">
        <v>32</v>
      </c>
      <c r="I13" s="16" t="s">
        <v>33</v>
      </c>
      <c r="J13" s="16" t="s">
        <v>34</v>
      </c>
      <c r="K13" s="16" t="s">
        <v>35</v>
      </c>
      <c r="L13" s="16" t="s">
        <v>36</v>
      </c>
      <c r="M13" s="16" t="s">
        <v>37</v>
      </c>
      <c r="N13" s="20" t="s">
        <v>44</v>
      </c>
    </row>
    <row r="14" spans="1:14" ht="21.75" customHeight="1" x14ac:dyDescent="0.25">
      <c r="A14" s="18">
        <f>6</f>
        <v>6</v>
      </c>
      <c r="B14" s="19" t="s">
        <v>26</v>
      </c>
      <c r="C14" s="19" t="s">
        <v>27</v>
      </c>
      <c r="D14" s="19" t="s">
        <v>28</v>
      </c>
      <c r="E14" s="19" t="s">
        <v>29</v>
      </c>
      <c r="F14" s="19" t="s">
        <v>30</v>
      </c>
      <c r="G14" s="19" t="s">
        <v>31</v>
      </c>
      <c r="H14" s="19" t="s">
        <v>32</v>
      </c>
      <c r="I14" s="19" t="s">
        <v>33</v>
      </c>
      <c r="J14" s="19" t="s">
        <v>34</v>
      </c>
      <c r="K14" s="19" t="s">
        <v>35</v>
      </c>
      <c r="L14" s="19" t="s">
        <v>36</v>
      </c>
      <c r="M14" s="19" t="s">
        <v>37</v>
      </c>
      <c r="N14" s="20" t="s">
        <v>44</v>
      </c>
    </row>
    <row r="15" spans="1:14" ht="21.75" customHeight="1" x14ac:dyDescent="0.25">
      <c r="A15" s="15">
        <f>7</f>
        <v>7</v>
      </c>
      <c r="B15" s="16" t="s">
        <v>26</v>
      </c>
      <c r="C15" s="16" t="s">
        <v>27</v>
      </c>
      <c r="D15" s="16" t="s">
        <v>28</v>
      </c>
      <c r="E15" s="16" t="s">
        <v>29</v>
      </c>
      <c r="F15" s="16" t="s">
        <v>30</v>
      </c>
      <c r="G15" s="16" t="s">
        <v>31</v>
      </c>
      <c r="H15" s="16" t="s">
        <v>32</v>
      </c>
      <c r="I15" s="16" t="s">
        <v>33</v>
      </c>
      <c r="J15" s="16" t="s">
        <v>34</v>
      </c>
      <c r="K15" s="16" t="s">
        <v>35</v>
      </c>
      <c r="L15" s="16" t="s">
        <v>36</v>
      </c>
      <c r="M15" s="16" t="s">
        <v>37</v>
      </c>
      <c r="N15" s="20" t="s">
        <v>44</v>
      </c>
    </row>
    <row r="16" spans="1:14" ht="21.75" customHeight="1" x14ac:dyDescent="0.25">
      <c r="A16" s="18">
        <f>8</f>
        <v>8</v>
      </c>
      <c r="B16" s="19" t="s">
        <v>26</v>
      </c>
      <c r="C16" s="19" t="s">
        <v>27</v>
      </c>
      <c r="D16" s="19" t="s">
        <v>28</v>
      </c>
      <c r="E16" s="19" t="s">
        <v>29</v>
      </c>
      <c r="F16" s="19" t="s">
        <v>30</v>
      </c>
      <c r="G16" s="19" t="s">
        <v>31</v>
      </c>
      <c r="H16" s="19" t="s">
        <v>32</v>
      </c>
      <c r="I16" s="19" t="s">
        <v>33</v>
      </c>
      <c r="J16" s="19" t="s">
        <v>34</v>
      </c>
      <c r="K16" s="19" t="s">
        <v>35</v>
      </c>
      <c r="L16" s="19" t="s">
        <v>36</v>
      </c>
      <c r="M16" s="19" t="s">
        <v>37</v>
      </c>
      <c r="N16" s="20" t="s">
        <v>44</v>
      </c>
    </row>
    <row r="17" spans="1:14" ht="21.75" customHeight="1" x14ac:dyDescent="0.25">
      <c r="A17" s="15">
        <f>9</f>
        <v>9</v>
      </c>
      <c r="B17" s="16" t="s">
        <v>26</v>
      </c>
      <c r="C17" s="16" t="s">
        <v>27</v>
      </c>
      <c r="D17" s="16" t="s">
        <v>28</v>
      </c>
      <c r="E17" s="16" t="s">
        <v>29</v>
      </c>
      <c r="F17" s="16" t="s">
        <v>30</v>
      </c>
      <c r="G17" s="16" t="s">
        <v>31</v>
      </c>
      <c r="H17" s="16" t="s">
        <v>32</v>
      </c>
      <c r="I17" s="16" t="s">
        <v>33</v>
      </c>
      <c r="J17" s="16" t="s">
        <v>34</v>
      </c>
      <c r="K17" s="16" t="s">
        <v>35</v>
      </c>
      <c r="L17" s="16" t="s">
        <v>36</v>
      </c>
      <c r="M17" s="16" t="s">
        <v>37</v>
      </c>
      <c r="N17" s="20" t="s">
        <v>44</v>
      </c>
    </row>
    <row r="18" spans="1:14" ht="21.75" customHeight="1" x14ac:dyDescent="0.25">
      <c r="A18" s="18">
        <f>10</f>
        <v>10</v>
      </c>
      <c r="B18" s="19" t="s">
        <v>26</v>
      </c>
      <c r="C18" s="19" t="s">
        <v>27</v>
      </c>
      <c r="D18" s="19" t="s">
        <v>28</v>
      </c>
      <c r="E18" s="19" t="s">
        <v>29</v>
      </c>
      <c r="F18" s="19" t="s">
        <v>30</v>
      </c>
      <c r="G18" s="19" t="s">
        <v>31</v>
      </c>
      <c r="H18" s="19" t="s">
        <v>32</v>
      </c>
      <c r="I18" s="19" t="s">
        <v>33</v>
      </c>
      <c r="J18" s="19" t="s">
        <v>34</v>
      </c>
      <c r="K18" s="19" t="s">
        <v>35</v>
      </c>
      <c r="L18" s="19" t="s">
        <v>36</v>
      </c>
      <c r="M18" s="19" t="s">
        <v>37</v>
      </c>
      <c r="N18" s="20" t="s">
        <v>44</v>
      </c>
    </row>
    <row r="19" spans="1:14" ht="7.5" customHeight="1" x14ac:dyDescent="0.25"/>
    <row r="20" spans="1:14" ht="21.75" customHeight="1" x14ac:dyDescent="0.25">
      <c r="A20" s="7" t="s">
        <v>39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6">
        <f>COUNTA(N9:N1000)-COUNTBLANK(N9:N1000)</f>
        <v>-972</v>
      </c>
      <c r="M20" s="6"/>
      <c r="N20" s="6"/>
    </row>
    <row r="21" spans="1:14" ht="21.75" customHeight="1" x14ac:dyDescent="0.25">
      <c r="A21" s="5" t="s">
        <v>40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4">
        <f>COUNTIF(N9:N1000,"Pass")</f>
        <v>0</v>
      </c>
      <c r="M21" s="4"/>
      <c r="N21" s="4"/>
    </row>
    <row r="22" spans="1:14" ht="21.75" customHeight="1" x14ac:dyDescent="0.25">
      <c r="A22" s="3" t="s">
        <v>41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2">
        <f>COUNTIF(N9:N1000,"Failed")</f>
        <v>10</v>
      </c>
      <c r="M22" s="2"/>
      <c r="N22" s="2"/>
    </row>
  </sheetData>
  <mergeCells count="17">
    <mergeCell ref="A20:K20"/>
    <mergeCell ref="L20:N20"/>
    <mergeCell ref="A21:K21"/>
    <mergeCell ref="L21:N21"/>
    <mergeCell ref="A22:K22"/>
    <mergeCell ref="L22:N22"/>
    <mergeCell ref="A4:B4"/>
    <mergeCell ref="D4:N4"/>
    <mergeCell ref="A5:B5"/>
    <mergeCell ref="D5:N5"/>
    <mergeCell ref="A6:G6"/>
    <mergeCell ref="H6:N6"/>
    <mergeCell ref="A1:N1"/>
    <mergeCell ref="A2:B2"/>
    <mergeCell ref="D2:N2"/>
    <mergeCell ref="A3:B3"/>
    <mergeCell ref="D3:N3"/>
  </mergeCells>
  <dataValidations count="1">
    <dataValidation type="list" showErrorMessage="1" errorTitle="Input Tidak Valid" error="Hanya boleh memilih Pass atau Failed" sqref="N9:N1000" xr:uid="{00000000-0002-0000-0100-000000000000}">
      <formula1>"Pass,Failed"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Positif</vt:lpstr>
      <vt:lpstr>Negatif</vt:lpstr>
      <vt:lpstr>Negatif!Print_Titles</vt:lpstr>
      <vt:lpstr>Positif!Print_Titles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Bambang Widoyono</cp:lastModifiedBy>
  <cp:revision>0</cp:revision>
  <dcterms:created xsi:type="dcterms:W3CDTF">2026-06-03T12:37:19Z</dcterms:created>
  <dcterms:modified xsi:type="dcterms:W3CDTF">2026-06-03T23:43:53Z</dcterms:modified>
  <dc:language>en-US</dc:language>
</cp:coreProperties>
</file>